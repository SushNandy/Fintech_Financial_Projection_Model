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31346f5cc3d5090/Documents/"/>
    </mc:Choice>
  </mc:AlternateContent>
  <xr:revisionPtr revIDLastSave="1" documentId="8_{E82DD8C6-3CCC-4674-B9DD-CAC2610ACB75}" xr6:coauthVersionLast="47" xr6:coauthVersionMax="47" xr10:uidLastSave="{2C77353B-FA71-4A32-9BD5-D743ED728444}"/>
  <bookViews>
    <workbookView xWindow="-108" yWindow="-108" windowWidth="23256" windowHeight="12456" xr2:uid="{742B00E1-BCC2-420C-B86F-757FF05F5C56}"/>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1" l="1"/>
  <c r="D44" i="1"/>
  <c r="C34" i="1"/>
  <c r="C32" i="1"/>
  <c r="D31" i="1"/>
  <c r="D32" i="1" s="1"/>
  <c r="C31" i="1"/>
  <c r="C33" i="1" s="1"/>
  <c r="C35" i="1" s="1"/>
  <c r="C36" i="1" l="1"/>
  <c r="C37" i="1" s="1"/>
  <c r="C38" i="1" s="1"/>
  <c r="D34" i="1"/>
  <c r="E31" i="1"/>
  <c r="D33" i="1"/>
  <c r="D35" i="1" l="1"/>
  <c r="E32" i="1"/>
  <c r="E33" i="1" s="1"/>
  <c r="E35" i="1" s="1"/>
  <c r="F31" i="1"/>
  <c r="E34" i="1"/>
  <c r="E36" i="1" l="1"/>
  <c r="E37" i="1"/>
  <c r="E38" i="1" s="1"/>
  <c r="G31" i="1"/>
  <c r="F34" i="1"/>
  <c r="G34" i="1" s="1"/>
  <c r="F32" i="1"/>
  <c r="G32" i="1" s="1"/>
  <c r="D36" i="1"/>
  <c r="D37" i="1" s="1"/>
  <c r="D38" i="1" s="1"/>
  <c r="F33" i="1" l="1"/>
  <c r="G33" i="1" l="1"/>
  <c r="F35" i="1"/>
  <c r="F36" i="1" l="1"/>
  <c r="G36" i="1" s="1"/>
  <c r="F37" i="1"/>
  <c r="G35" i="1"/>
  <c r="F38" i="1" l="1"/>
  <c r="G37" i="1"/>
</calcChain>
</file>

<file path=xl/sharedStrings.xml><?xml version="1.0" encoding="utf-8"?>
<sst xmlns="http://schemas.openxmlformats.org/spreadsheetml/2006/main" count="56" uniqueCount="56">
  <si>
    <t>Section 4 – Fintech Financial Model  (20 marks)</t>
  </si>
  <si>
    <t>Build a 3-year revenue and profit projection model for a fintech lending company using IF, IFS, and absolute cell references.</t>
  </si>
  <si>
    <t>🏦  Company Background</t>
  </si>
  <si>
    <t>FinPe Lending is a fintech NBFC that disburses personal loans via a mobile app. You have been given FY2023 actuals. Your task is to build a 3-year projection model (FY2024, FY2025, FY2026) that automatically updates when assumptions change.</t>
  </si>
  <si>
    <t>📌  Instructions — Read carefully before starting</t>
  </si>
  <si>
    <t>1. The yellow cells in the ASSUMPTION block (rows 19–26) are PRE-FILLED — do NOT change them. They are the inputs your formulas must reference.</t>
  </si>
  <si>
    <t>2. Build ALL formulas in the yellow cells of the PROJECTION MODEL (rows 31–38). Do not hardcode numbers — every cell must use a formula referencing the assumption block.</t>
  </si>
  <si>
    <t>3. FY2024 Revenue formula: Apply the Growth Rate assumption to FY2023 Revenue using an IFS formula that reads the Selected Scenario cell (C26).</t>
  </si>
  <si>
    <t>4. FY2025 and FY2026 Revenue: Each year grows by the same scenario-driven rate applied to the previous year's revenue.</t>
  </si>
  <si>
    <t>5. All other line items (Costs, Gross Profit, Interest Income, EBITDA, Tax, Net Profit, Margin%) must also be formula-driven — no hardcoded values.</t>
  </si>
  <si>
    <t>6. The model must update automatically when the Selected Scenario in C15 is changed between Conservative, Moderate, and Aggressive.</t>
  </si>
  <si>
    <t>7. Answer the two short-answer questions in the yellow text boxes at the bottom of this sheet.</t>
  </si>
  <si>
    <t>⚙️  Model Assumptions  (Pre-filled — reference these cells in your formulas, do NOT change them)</t>
  </si>
  <si>
    <t>Assumption</t>
  </si>
  <si>
    <t>Value</t>
  </si>
  <si>
    <t>Notes</t>
  </si>
  <si>
    <t>FY2023 Actual Revenue (₹)</t>
  </si>
  <si>
    <t>Starting base revenue</t>
  </si>
  <si>
    <t>Growth Rate – Conservative (%)</t>
  </si>
  <si>
    <t>8% annual growth</t>
  </si>
  <si>
    <t>Growth Rate – Moderate (%)</t>
  </si>
  <si>
    <t>15% annual growth</t>
  </si>
  <si>
    <t>Growth Rate – Aggressive (%)</t>
  </si>
  <si>
    <t>24% annual growth</t>
  </si>
  <si>
    <t>Operating Cost as % of Revenue</t>
  </si>
  <si>
    <t>60% of revenue goes to operating costs</t>
  </si>
  <si>
    <t>Interest Income as % of Revenue</t>
  </si>
  <si>
    <t>Fintech lending float / interest earned</t>
  </si>
  <si>
    <t>Tax Rate (%)</t>
  </si>
  <si>
    <t>25% flat corporate tax</t>
  </si>
  <si>
    <t>Selected Scenario</t>
  </si>
  <si>
    <t>Moderate</t>
  </si>
  <si>
    <t>Change to Conservative or Aggressive to test</t>
  </si>
  <si>
    <t xml:space="preserve">I have used this cell reference (C26) for scenerio change </t>
  </si>
  <si>
    <t>📊  3-Year Projection Model  (Build ALL formulas in the yellow cells below)</t>
  </si>
  <si>
    <t>Metric</t>
  </si>
  <si>
    <t>FY2023 Actual (₹)</t>
  </si>
  <si>
    <t>FY2024 Projected (₹)</t>
  </si>
  <si>
    <t>FY2025 Projected (₹)</t>
  </si>
  <si>
    <t>FY2026 Projected (₹)</t>
  </si>
  <si>
    <t>YoY Growth (FY23→26)</t>
  </si>
  <si>
    <t>Revenue</t>
  </si>
  <si>
    <t>Operating Costs</t>
  </si>
  <si>
    <t>Gross Profit</t>
  </si>
  <si>
    <t>Interest Income</t>
  </si>
  <si>
    <t>EBITDA</t>
  </si>
  <si>
    <t>Tax</t>
  </si>
  <si>
    <t>Net Profit</t>
  </si>
  <si>
    <t>Net Profit Margin %</t>
  </si>
  <si>
    <t>✏️  Short Answer Questions  (write your answers in the yellow cells)</t>
  </si>
  <si>
    <t>Q1  (5 marks)</t>
  </si>
  <si>
    <t>Your FY2024 Revenue formula uses IFS to select the growth rate based on the Selected Scenario. Rewrite the exact same formula using SWITCH instead of IFS, and type it in the yellow cell below.</t>
  </si>
  <si>
    <t xml:space="preserve">Your Answer </t>
  </si>
  <si>
    <t>Q2  (5 marks)</t>
  </si>
  <si>
    <t>The model currently uses a single growth rate for all three projected years. As an MIS Manager in a fintech, you need to add a 'Stressed' scenario where revenue growth drops to 0% in FY2024 (due to an RBI regulatory crackdown) and then recovers at 10% in FY2025 and FY2026. In 2–3 sentences, describe the formula changes you would make to support this stressed scenario, and how you would modify the assumption block to allow the assessor to toggle it.</t>
  </si>
  <si>
    <t>Your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</si>
</sst>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6"/>
      <color rgb="FFFFFFFF"/>
      <name val="Arial"/>
      <charset val="1"/>
    </font>
    <font>
      <sz val="10"/>
      <color rgb="FFFFFFFF"/>
      <name val="Arial"/>
      <charset val="1"/>
    </font>
    <font>
      <b/>
      <sz val="11"/>
      <color rgb="FFFFFFFF"/>
      <name val="Arial"/>
      <charset val="1"/>
    </font>
    <font>
      <sz val="10"/>
      <color rgb="FF1A1A2E"/>
      <name val="Arial"/>
      <charset val="1"/>
    </font>
    <font>
      <b/>
      <sz val="10"/>
      <color rgb="FFFFFFFF"/>
      <name val="Arial"/>
      <charset val="1"/>
    </font>
    <font>
      <b/>
      <sz val="10"/>
      <color rgb="FF1A1A2E"/>
      <name val="Arial"/>
      <charset val="1"/>
    </font>
    <font>
      <i/>
      <sz val="9"/>
      <color rgb="FF595959"/>
      <name val="Arial"/>
      <charset val="1"/>
    </font>
    <font>
      <b/>
      <sz val="10"/>
      <color rgb="FF2E75B6"/>
      <name val="Arial"/>
      <charset val="1"/>
    </font>
    <font>
      <sz val="11"/>
      <color theme="1"/>
      <name val="Calibri"/>
      <family val="2"/>
      <charset val="1"/>
    </font>
  </fonts>
  <fills count="1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FFFFFF"/>
        <bgColor rgb="FFF2F2F2"/>
      </patternFill>
    </fill>
    <fill>
      <patternFill patternType="solid">
        <fgColor rgb="FFF2F2F2"/>
        <bgColor rgb="FFE2EFDA"/>
      </patternFill>
    </fill>
    <fill>
      <patternFill patternType="solid">
        <fgColor rgb="FFFFF2CC"/>
        <bgColor rgb="FFF2F2F2"/>
      </patternFill>
    </fill>
    <fill>
      <patternFill patternType="solid">
        <fgColor rgb="FFFFFF00"/>
        <bgColor indexed="64"/>
      </patternFill>
    </fill>
    <fill>
      <patternFill patternType="solid">
        <fgColor theme="5" tint="0.39997558519241921"/>
        <bgColor rgb="FF1A1A2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6" fillId="2" borderId="1" xfId="0" applyFont="1" applyFill="1" applyBorder="1" applyAlignment="1">
      <alignment horizontal="center" vertical="center"/>
    </xf>
    <xf numFmtId="0" fontId="7" fillId="5" borderId="1" xfId="0" applyFont="1" applyFill="1" applyBorder="1" applyAlignment="1">
      <alignment horizontal="left" vertical="center" indent="1"/>
    </xf>
    <xf numFmtId="3" fontId="5" fillId="7" borderId="1" xfId="0" applyNumberFormat="1" applyFont="1" applyFill="1" applyBorder="1" applyAlignment="1">
      <alignment horizontal="center" vertical="center"/>
    </xf>
    <xf numFmtId="0" fontId="8" fillId="5" borderId="1" xfId="0" applyFont="1" applyFill="1" applyBorder="1" applyAlignment="1">
      <alignment horizontal="left" vertical="center" wrapText="1" indent="1"/>
    </xf>
    <xf numFmtId="0" fontId="7" fillId="6" borderId="1" xfId="0" applyFont="1" applyFill="1" applyBorder="1" applyAlignment="1">
      <alignment horizontal="left" vertical="center" indent="1"/>
    </xf>
    <xf numFmtId="9" fontId="5" fillId="7" borderId="1" xfId="0" applyNumberFormat="1" applyFont="1" applyFill="1" applyBorder="1" applyAlignment="1">
      <alignment horizontal="center" vertical="center"/>
    </xf>
    <xf numFmtId="0" fontId="8" fillId="6" borderId="1" xfId="0" applyFont="1" applyFill="1" applyBorder="1" applyAlignment="1">
      <alignment horizontal="left" vertical="center" wrapText="1" indent="1"/>
    </xf>
    <xf numFmtId="0" fontId="5" fillId="7" borderId="1" xfId="0" applyFont="1" applyFill="1" applyBorder="1" applyAlignment="1">
      <alignment horizontal="center" vertical="center"/>
    </xf>
    <xf numFmtId="0" fontId="0" fillId="8" borderId="0" xfId="0" applyFill="1"/>
    <xf numFmtId="0" fontId="6" fillId="2" borderId="1" xfId="0" applyFont="1" applyFill="1" applyBorder="1" applyAlignment="1">
      <alignment horizontal="center" vertical="center" wrapText="1"/>
    </xf>
    <xf numFmtId="0" fontId="5" fillId="5" borderId="1" xfId="0" applyFont="1" applyFill="1" applyBorder="1" applyAlignment="1">
      <alignment horizontal="left" vertical="center" indent="1"/>
    </xf>
    <xf numFmtId="10" fontId="5" fillId="7" borderId="1" xfId="0" applyNumberFormat="1" applyFont="1" applyFill="1" applyBorder="1" applyAlignment="1">
      <alignment horizontal="center" vertical="center"/>
    </xf>
    <xf numFmtId="0" fontId="5" fillId="6" borderId="1" xfId="0" applyFont="1" applyFill="1" applyBorder="1" applyAlignment="1">
      <alignment horizontal="left" vertical="center" indent="1"/>
    </xf>
    <xf numFmtId="9" fontId="5" fillId="7" borderId="1" xfId="1" applyFont="1" applyFill="1" applyBorder="1" applyAlignment="1">
      <alignment horizontal="center" vertical="center"/>
    </xf>
    <xf numFmtId="0" fontId="7" fillId="4" borderId="0" xfId="0" applyFont="1" applyFill="1" applyAlignment="1">
      <alignment horizontal="left" vertical="center" indent="1"/>
    </xf>
    <xf numFmtId="0" fontId="0" fillId="0" borderId="0" xfId="0"/>
    <xf numFmtId="0" fontId="5" fillId="5" borderId="0" xfId="0" applyFont="1" applyFill="1" applyAlignment="1">
      <alignment horizontal="left" vertical="top" wrapText="1" indent="1"/>
    </xf>
    <xf numFmtId="0" fontId="9" fillId="9" borderId="0" xfId="0" applyFont="1" applyFill="1" applyAlignment="1">
      <alignment horizontal="left" vertical="center" indent="1"/>
    </xf>
    <xf numFmtId="0" fontId="10" fillId="7" borderId="2" xfId="0" applyFont="1" applyFill="1" applyBorder="1" applyAlignment="1">
      <alignment horizontal="center" vertical="top" wrapText="1"/>
    </xf>
    <xf numFmtId="0" fontId="10" fillId="0" borderId="3" xfId="0" applyFont="1" applyBorder="1" applyAlignment="1">
      <alignment horizontal="center"/>
    </xf>
    <xf numFmtId="0" fontId="4" fillId="3" borderId="0" xfId="0" applyFont="1" applyFill="1" applyAlignment="1">
      <alignment horizontal="left" vertical="center" indent="1"/>
    </xf>
    <xf numFmtId="0" fontId="5" fillId="6" borderId="0" xfId="0" applyFont="1" applyFill="1" applyAlignment="1">
      <alignment horizontal="left" vertical="top" wrapText="1" indent="1"/>
    </xf>
    <xf numFmtId="0" fontId="2" fillId="2" borderId="0" xfId="0" applyFont="1" applyFill="1" applyAlignment="1">
      <alignment horizontal="center" vertical="center"/>
    </xf>
    <xf numFmtId="0" fontId="3" fillId="3" borderId="0" xfId="0" applyFont="1" applyFill="1" applyAlignment="1">
      <alignment horizontal="left" vertical="center" wrapText="1" indent="1"/>
    </xf>
    <xf numFmtId="0" fontId="5" fillId="4" borderId="0" xfId="0" applyFont="1" applyFill="1" applyAlignment="1">
      <alignment horizontal="left" vertical="top" wrapText="1" indent="1"/>
    </xf>
    <xf numFmtId="0" fontId="10" fillId="7" borderId="2"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BBAC-17B5-4AD5-BA44-9B15319828AD}">
  <dimension ref="A1:G48"/>
  <sheetViews>
    <sheetView tabSelected="1" topLeftCell="A25" workbookViewId="0">
      <selection activeCell="D44" sqref="D44:G44"/>
    </sheetView>
  </sheetViews>
  <sheetFormatPr defaultColWidth="20.44140625" defaultRowHeight="14.4" x14ac:dyDescent="0.3"/>
  <cols>
    <col min="1" max="1" width="2.77734375" customWidth="1"/>
    <col min="2" max="2" width="34.109375" customWidth="1"/>
    <col min="3" max="3" width="18.6640625" customWidth="1"/>
    <col min="4" max="7" width="19.88671875" customWidth="1"/>
  </cols>
  <sheetData>
    <row r="1" spans="1:7" ht="21" x14ac:dyDescent="0.3">
      <c r="A1" s="23" t="s">
        <v>0</v>
      </c>
      <c r="B1" s="16"/>
      <c r="C1" s="16"/>
      <c r="D1" s="16"/>
      <c r="E1" s="16"/>
      <c r="F1" s="16"/>
      <c r="G1" s="16"/>
    </row>
    <row r="2" spans="1:7" x14ac:dyDescent="0.3">
      <c r="A2" s="24" t="s">
        <v>1</v>
      </c>
      <c r="B2" s="16"/>
      <c r="C2" s="16"/>
      <c r="D2" s="16"/>
      <c r="E2" s="16"/>
      <c r="F2" s="16"/>
      <c r="G2" s="16"/>
    </row>
    <row r="4" spans="1:7" x14ac:dyDescent="0.3">
      <c r="B4" s="21" t="s">
        <v>2</v>
      </c>
      <c r="C4" s="16"/>
      <c r="D4" s="16"/>
      <c r="E4" s="16"/>
      <c r="F4" s="16"/>
      <c r="G4" s="16"/>
    </row>
    <row r="5" spans="1:7" x14ac:dyDescent="0.3">
      <c r="B5" s="25" t="s">
        <v>3</v>
      </c>
      <c r="C5" s="16"/>
      <c r="D5" s="16"/>
      <c r="E5" s="16"/>
      <c r="F5" s="16"/>
      <c r="G5" s="16"/>
    </row>
    <row r="7" spans="1:7" x14ac:dyDescent="0.3">
      <c r="B7" s="21" t="s">
        <v>4</v>
      </c>
      <c r="C7" s="16"/>
      <c r="D7" s="16"/>
      <c r="E7" s="16"/>
      <c r="F7" s="16"/>
      <c r="G7" s="16"/>
    </row>
    <row r="8" spans="1:7" x14ac:dyDescent="0.3">
      <c r="B8" s="17" t="s">
        <v>5</v>
      </c>
      <c r="C8" s="16"/>
      <c r="D8" s="16"/>
      <c r="E8" s="16"/>
      <c r="F8" s="16"/>
      <c r="G8" s="16"/>
    </row>
    <row r="9" spans="1:7" x14ac:dyDescent="0.3">
      <c r="B9" s="22" t="s">
        <v>6</v>
      </c>
      <c r="C9" s="16"/>
      <c r="D9" s="16"/>
      <c r="E9" s="16"/>
      <c r="F9" s="16"/>
      <c r="G9" s="16"/>
    </row>
    <row r="10" spans="1:7" x14ac:dyDescent="0.3">
      <c r="B10" s="17" t="s">
        <v>7</v>
      </c>
      <c r="C10" s="16"/>
      <c r="D10" s="16"/>
      <c r="E10" s="16"/>
      <c r="F10" s="16"/>
      <c r="G10" s="16"/>
    </row>
    <row r="11" spans="1:7" x14ac:dyDescent="0.3">
      <c r="B11" s="22" t="s">
        <v>8</v>
      </c>
      <c r="C11" s="16"/>
      <c r="D11" s="16"/>
      <c r="E11" s="16"/>
      <c r="F11" s="16"/>
      <c r="G11" s="16"/>
    </row>
    <row r="12" spans="1:7" x14ac:dyDescent="0.3">
      <c r="B12" s="17" t="s">
        <v>9</v>
      </c>
      <c r="C12" s="16"/>
      <c r="D12" s="16"/>
      <c r="E12" s="16"/>
      <c r="F12" s="16"/>
      <c r="G12" s="16"/>
    </row>
    <row r="13" spans="1:7" x14ac:dyDescent="0.3">
      <c r="B13" s="22" t="s">
        <v>10</v>
      </c>
      <c r="C13" s="16"/>
      <c r="D13" s="16"/>
      <c r="E13" s="16"/>
      <c r="F13" s="16"/>
      <c r="G13" s="16"/>
    </row>
    <row r="14" spans="1:7" x14ac:dyDescent="0.3">
      <c r="B14" s="17" t="s">
        <v>11</v>
      </c>
      <c r="C14" s="16"/>
      <c r="D14" s="16"/>
      <c r="E14" s="16"/>
      <c r="F14" s="16"/>
      <c r="G14" s="16"/>
    </row>
    <row r="17" spans="2:7" x14ac:dyDescent="0.3">
      <c r="B17" s="21" t="s">
        <v>12</v>
      </c>
      <c r="C17" s="16"/>
      <c r="D17" s="16"/>
      <c r="E17" s="16"/>
      <c r="F17" s="16"/>
      <c r="G17" s="16"/>
    </row>
    <row r="18" spans="2:7" x14ac:dyDescent="0.3">
      <c r="B18" s="1" t="s">
        <v>13</v>
      </c>
      <c r="C18" s="1" t="s">
        <v>14</v>
      </c>
      <c r="D18" s="1" t="s">
        <v>15</v>
      </c>
    </row>
    <row r="19" spans="2:7" ht="25.2" customHeight="1" x14ac:dyDescent="0.3">
      <c r="B19" s="2" t="s">
        <v>16</v>
      </c>
      <c r="C19" s="3">
        <v>10000000</v>
      </c>
      <c r="D19" s="4" t="s">
        <v>17</v>
      </c>
    </row>
    <row r="20" spans="2:7" ht="25.2" customHeight="1" x14ac:dyDescent="0.3">
      <c r="B20" s="5" t="s">
        <v>18</v>
      </c>
      <c r="C20" s="6">
        <v>0.08</v>
      </c>
      <c r="D20" s="7" t="s">
        <v>19</v>
      </c>
    </row>
    <row r="21" spans="2:7" ht="25.2" customHeight="1" x14ac:dyDescent="0.3">
      <c r="B21" s="2" t="s">
        <v>20</v>
      </c>
      <c r="C21" s="6">
        <v>0.15</v>
      </c>
      <c r="D21" s="4" t="s">
        <v>21</v>
      </c>
    </row>
    <row r="22" spans="2:7" ht="25.2" customHeight="1" x14ac:dyDescent="0.3">
      <c r="B22" s="5" t="s">
        <v>22</v>
      </c>
      <c r="C22" s="6">
        <v>0.24</v>
      </c>
      <c r="D22" s="7" t="s">
        <v>23</v>
      </c>
    </row>
    <row r="23" spans="2:7" ht="25.2" customHeight="1" x14ac:dyDescent="0.3">
      <c r="B23" s="2" t="s">
        <v>24</v>
      </c>
      <c r="C23" s="6">
        <v>0.6</v>
      </c>
      <c r="D23" s="4" t="s">
        <v>25</v>
      </c>
    </row>
    <row r="24" spans="2:7" ht="25.2" customHeight="1" x14ac:dyDescent="0.3">
      <c r="B24" s="5" t="s">
        <v>26</v>
      </c>
      <c r="C24" s="6">
        <v>0.12</v>
      </c>
      <c r="D24" s="7" t="s">
        <v>27</v>
      </c>
    </row>
    <row r="25" spans="2:7" ht="25.2" customHeight="1" x14ac:dyDescent="0.3">
      <c r="B25" s="2" t="s">
        <v>28</v>
      </c>
      <c r="C25" s="6">
        <v>0.25</v>
      </c>
      <c r="D25" s="4" t="s">
        <v>29</v>
      </c>
    </row>
    <row r="26" spans="2:7" ht="25.2" customHeight="1" x14ac:dyDescent="0.3">
      <c r="B26" s="5" t="s">
        <v>30</v>
      </c>
      <c r="C26" s="8" t="s">
        <v>31</v>
      </c>
      <c r="D26" s="7" t="s">
        <v>32</v>
      </c>
      <c r="E26" s="9" t="s">
        <v>33</v>
      </c>
    </row>
    <row r="29" spans="2:7" x14ac:dyDescent="0.3">
      <c r="B29" s="21" t="s">
        <v>34</v>
      </c>
      <c r="C29" s="16"/>
      <c r="D29" s="16"/>
      <c r="E29" s="16"/>
      <c r="F29" s="16"/>
      <c r="G29" s="16"/>
    </row>
    <row r="30" spans="2:7" ht="52.8" x14ac:dyDescent="0.3">
      <c r="B30" s="10" t="s">
        <v>35</v>
      </c>
      <c r="C30" s="10" t="s">
        <v>36</v>
      </c>
      <c r="D30" s="10" t="s">
        <v>37</v>
      </c>
      <c r="E30" s="10" t="s">
        <v>38</v>
      </c>
      <c r="F30" s="10" t="s">
        <v>39</v>
      </c>
      <c r="G30" s="10" t="s">
        <v>40</v>
      </c>
    </row>
    <row r="31" spans="2:7" x14ac:dyDescent="0.3">
      <c r="B31" s="11" t="s">
        <v>41</v>
      </c>
      <c r="C31" s="3">
        <f>$C$19</f>
        <v>10000000</v>
      </c>
      <c r="D31" s="3">
        <f>_xlfn.IFS(
$C26="Conservative", $C19*(1+$C20),
$C26="Moderate", $C19*(1+$C21),
$C26="Aggressive", $C19*(1+$C22)
)</f>
        <v>11500000</v>
      </c>
      <c r="E31" s="3">
        <f>_xlfn.IFS(
$C26="Conservative", $D31*(1+$C20),
$C26="Moderate", $D31*(1+$C21),
$C26="Aggressive", $D31*(1+$C22)
)</f>
        <v>13224999.999999998</v>
      </c>
      <c r="F31" s="3">
        <f>_xlfn.IFS(
$C26="Conservative", $E31*(1+$C20),
$C26="Moderate", $E31*(1+$C21),
$C26="Aggressive", $E31*(1+$C22)
)</f>
        <v>15208749.999999996</v>
      </c>
      <c r="G31" s="12">
        <f>(F31-C31)/C31</f>
        <v>0.52087499999999964</v>
      </c>
    </row>
    <row r="32" spans="2:7" x14ac:dyDescent="0.3">
      <c r="B32" s="13" t="s">
        <v>42</v>
      </c>
      <c r="C32" s="3">
        <f>C31*$C23</f>
        <v>6000000</v>
      </c>
      <c r="D32" s="3">
        <f>D31*$C23</f>
        <v>6900000</v>
      </c>
      <c r="E32" s="3">
        <f>E31*$C23</f>
        <v>7934999.9999999981</v>
      </c>
      <c r="F32" s="3">
        <f>F31*$C23</f>
        <v>9125249.9999999981</v>
      </c>
      <c r="G32" s="12">
        <f t="shared" ref="G32:G37" si="0">(F32-C32)/C32</f>
        <v>0.52087499999999964</v>
      </c>
    </row>
    <row r="33" spans="2:7" x14ac:dyDescent="0.3">
      <c r="B33" s="2" t="s">
        <v>43</v>
      </c>
      <c r="C33" s="3">
        <f>C31-C32</f>
        <v>4000000</v>
      </c>
      <c r="D33" s="3">
        <f>D31-D32</f>
        <v>4600000</v>
      </c>
      <c r="E33" s="3">
        <f>E31-E32</f>
        <v>5290000</v>
      </c>
      <c r="F33" s="3">
        <f>F31-F32</f>
        <v>6083499.9999999981</v>
      </c>
      <c r="G33" s="12">
        <f t="shared" si="0"/>
        <v>0.52087499999999953</v>
      </c>
    </row>
    <row r="34" spans="2:7" x14ac:dyDescent="0.3">
      <c r="B34" s="13" t="s">
        <v>44</v>
      </c>
      <c r="C34" s="3">
        <f>C31*$C24</f>
        <v>1200000</v>
      </c>
      <c r="D34" s="3">
        <f>D31*$C24</f>
        <v>1380000</v>
      </c>
      <c r="E34" s="3">
        <f>E31*$C24</f>
        <v>1586999.9999999998</v>
      </c>
      <c r="F34" s="3">
        <f>F31*$C24</f>
        <v>1825049.9999999995</v>
      </c>
      <c r="G34" s="12">
        <f t="shared" si="0"/>
        <v>0.52087499999999964</v>
      </c>
    </row>
    <row r="35" spans="2:7" x14ac:dyDescent="0.3">
      <c r="B35" s="2" t="s">
        <v>45</v>
      </c>
      <c r="C35" s="3">
        <f>C33+C34</f>
        <v>5200000</v>
      </c>
      <c r="D35" s="3">
        <f>D33+D34</f>
        <v>5980000</v>
      </c>
      <c r="E35" s="3">
        <f>E33+E34</f>
        <v>6877000</v>
      </c>
      <c r="F35" s="3">
        <f>F33+F34</f>
        <v>7908549.9999999981</v>
      </c>
      <c r="G35" s="12">
        <f t="shared" si="0"/>
        <v>0.52087499999999964</v>
      </c>
    </row>
    <row r="36" spans="2:7" x14ac:dyDescent="0.3">
      <c r="B36" s="13" t="s">
        <v>46</v>
      </c>
      <c r="C36" s="3">
        <f>C35*$C25</f>
        <v>1300000</v>
      </c>
      <c r="D36" s="3">
        <f>D35*$C25</f>
        <v>1495000</v>
      </c>
      <c r="E36" s="3">
        <f>E35*$C25</f>
        <v>1719250</v>
      </c>
      <c r="F36" s="3">
        <f>F35*$C25</f>
        <v>1977137.4999999995</v>
      </c>
      <c r="G36" s="12">
        <f t="shared" si="0"/>
        <v>0.52087499999999964</v>
      </c>
    </row>
    <row r="37" spans="2:7" x14ac:dyDescent="0.3">
      <c r="B37" s="2" t="s">
        <v>47</v>
      </c>
      <c r="C37" s="3">
        <f>C35-C36</f>
        <v>3900000</v>
      </c>
      <c r="D37" s="3">
        <f>D35-D36</f>
        <v>4485000</v>
      </c>
      <c r="E37" s="3">
        <f>E35-E36</f>
        <v>5157750</v>
      </c>
      <c r="F37" s="3">
        <f>F35-F36</f>
        <v>5931412.4999999981</v>
      </c>
      <c r="G37" s="12">
        <f t="shared" si="0"/>
        <v>0.52087499999999953</v>
      </c>
    </row>
    <row r="38" spans="2:7" x14ac:dyDescent="0.3">
      <c r="B38" s="5" t="s">
        <v>48</v>
      </c>
      <c r="C38" s="14">
        <f>C37/C31</f>
        <v>0.39</v>
      </c>
      <c r="D38" s="14">
        <f>D37/D31</f>
        <v>0.39</v>
      </c>
      <c r="E38" s="14">
        <f>E37/E31</f>
        <v>0.39000000000000007</v>
      </c>
      <c r="F38" s="14">
        <f>F37/F31</f>
        <v>0.38999999999999996</v>
      </c>
      <c r="G38" s="12"/>
    </row>
    <row r="41" spans="2:7" x14ac:dyDescent="0.3">
      <c r="B41" s="21" t="s">
        <v>49</v>
      </c>
      <c r="C41" s="16"/>
      <c r="D41" s="16"/>
      <c r="E41" s="16"/>
      <c r="F41" s="16"/>
      <c r="G41" s="16"/>
    </row>
    <row r="42" spans="2:7" x14ac:dyDescent="0.3">
      <c r="B42" s="15" t="s">
        <v>50</v>
      </c>
      <c r="C42" s="16"/>
      <c r="D42" s="16"/>
      <c r="E42" s="16"/>
      <c r="F42" s="16"/>
      <c r="G42" s="16"/>
    </row>
    <row r="43" spans="2:7" x14ac:dyDescent="0.3">
      <c r="B43" s="17" t="s">
        <v>51</v>
      </c>
      <c r="C43" s="16"/>
      <c r="D43" s="16"/>
      <c r="E43" s="16"/>
      <c r="F43" s="16"/>
      <c r="G43" s="16"/>
    </row>
    <row r="44" spans="2:7" ht="33" customHeight="1" x14ac:dyDescent="0.3">
      <c r="B44" s="18" t="s">
        <v>52</v>
      </c>
      <c r="C44" s="16"/>
      <c r="D44" s="26">
        <f>_xlfn.SWITCH(
C26,
"Conservative", C19*(1+C20),
"Moderate", C19*(1+C21),
"Aggressive", C19*(1+C22)
)</f>
        <v>11500000</v>
      </c>
      <c r="E44" s="20"/>
      <c r="F44" s="20"/>
      <c r="G44" s="20"/>
    </row>
    <row r="46" spans="2:7" x14ac:dyDescent="0.3">
      <c r="B46" s="15" t="s">
        <v>53</v>
      </c>
      <c r="C46" s="16"/>
      <c r="D46" s="16"/>
      <c r="E46" s="16"/>
      <c r="F46" s="16"/>
      <c r="G46" s="16"/>
    </row>
    <row r="47" spans="2:7" x14ac:dyDescent="0.3">
      <c r="B47" s="17" t="s">
        <v>54</v>
      </c>
      <c r="C47" s="16"/>
      <c r="D47" s="16"/>
      <c r="E47" s="16"/>
      <c r="F47" s="16"/>
      <c r="G47" s="16"/>
    </row>
    <row r="48" spans="2:7" ht="37.799999999999997" customHeight="1" x14ac:dyDescent="0.3">
      <c r="B48" s="18" t="s">
        <v>55</v>
      </c>
      <c r="C48" s="16"/>
      <c r="D48" s="19">
        <f>_xlfn.SWITCH(
C26,
"Conservative", C19*(1+C20),
"Moderate", C19*(1+C21),
"Aggressive", C19*(1+C22),
"Stressed", C19*(1+C27)
)</f>
        <v>11500000</v>
      </c>
      <c r="E48" s="20"/>
      <c r="F48" s="20"/>
      <c r="G48" s="20"/>
    </row>
  </sheetData>
  <mergeCells count="23">
    <mergeCell ref="B14:G14"/>
    <mergeCell ref="A1:G1"/>
    <mergeCell ref="A2:G2"/>
    <mergeCell ref="B4:G4"/>
    <mergeCell ref="B5:G5"/>
    <mergeCell ref="B7:G7"/>
    <mergeCell ref="B8:G8"/>
    <mergeCell ref="B9:G9"/>
    <mergeCell ref="B10:G10"/>
    <mergeCell ref="B11:G11"/>
    <mergeCell ref="B12:G12"/>
    <mergeCell ref="B13:G13"/>
    <mergeCell ref="B46:G46"/>
    <mergeCell ref="B47:G47"/>
    <mergeCell ref="B48:C48"/>
    <mergeCell ref="D48:G48"/>
    <mergeCell ref="B17:G17"/>
    <mergeCell ref="B29:G29"/>
    <mergeCell ref="B41:G41"/>
    <mergeCell ref="B42:G42"/>
    <mergeCell ref="B43:G43"/>
    <mergeCell ref="B44:C44"/>
    <mergeCell ref="D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Sushmita Nandy</dc:creator>
  <cp:lastModifiedBy>Sushmita Nandy</cp:lastModifiedBy>
  <dcterms:created xsi:type="dcterms:W3CDTF">2026-06-16T09:05:55Z</dcterms:created>
  <dcterms:modified xsi:type="dcterms:W3CDTF">2026-06-16T09:10:15Z</dcterms:modified>
</cp:coreProperties>
</file>